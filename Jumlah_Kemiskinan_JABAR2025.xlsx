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58F60609-37BF-4317-A901-2C98AE9F84B4}" xr6:coauthVersionLast="47" xr6:coauthVersionMax="47" xr10:uidLastSave="{00000000-0000-0000-0000-000000000000}"/>
  <bookViews>
    <workbookView xWindow="-110" yWindow="-110" windowWidth="19420" windowHeight="10300" xr2:uid="{854456EF-BABB-452A-B7DB-40EA762F7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D34" i="1"/>
  <c r="D36" i="1"/>
  <c r="D3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 l="1"/>
  <c r="G4" i="1" s="1"/>
  <c r="D31" i="1"/>
  <c r="F30" i="1"/>
  <c r="G30" i="1" s="1"/>
  <c r="E30" i="1"/>
  <c r="F29" i="1"/>
  <c r="G29" i="1" s="1"/>
  <c r="E29" i="1"/>
  <c r="F28" i="1"/>
  <c r="G28" i="1" s="1"/>
  <c r="E28" i="1"/>
  <c r="F27" i="1"/>
  <c r="G27" i="1" s="1"/>
  <c r="E27" i="1"/>
  <c r="F26" i="1"/>
  <c r="G26" i="1" s="1"/>
  <c r="E26" i="1"/>
  <c r="F25" i="1"/>
  <c r="G25" i="1" s="1"/>
  <c r="E25" i="1"/>
  <c r="F24" i="1"/>
  <c r="G24" i="1" s="1"/>
  <c r="E24" i="1"/>
  <c r="F23" i="1"/>
  <c r="G23" i="1" s="1"/>
  <c r="E23" i="1"/>
  <c r="F22" i="1"/>
  <c r="G22" i="1" s="1"/>
  <c r="E22" i="1"/>
  <c r="F21" i="1"/>
  <c r="G21" i="1" s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  <c r="D33" i="1" l="1"/>
  <c r="D37" i="1" s="1"/>
</calcChain>
</file>

<file path=xl/sharedStrings.xml><?xml version="1.0" encoding="utf-8"?>
<sst xmlns="http://schemas.openxmlformats.org/spreadsheetml/2006/main" count="42" uniqueCount="35">
  <si>
    <t>Kabupaten/
Kota</t>
  </si>
  <si>
    <t>Jumlah
 Penduduk (Jiwa)</t>
  </si>
  <si>
    <t>Persentase 
Kemiskinan</t>
  </si>
  <si>
    <t>Kemiskinan 
(Ribuan)</t>
  </si>
  <si>
    <t>Proporsi</t>
  </si>
  <si>
    <t>xi-xbar</t>
  </si>
  <si>
    <t>(xi-xbar)^2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</si>
  <si>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</si>
  <si>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</si>
  <si>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</si>
  <si>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</si>
  <si>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</si>
  <si>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</si>
  <si>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</si>
  <si>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</si>
  <si>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</si>
  <si>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</si>
  <si>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</si>
  <si>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</si>
  <si>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</si>
  <si>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</si>
  <si>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</si>
  <si>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</si>
  <si>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</si>
  <si>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</si>
  <si>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</si>
  <si>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</si>
  <si>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Banjar</t>
  </si>
  <si>
    <t>Jumlah Kemiskinan di Jawa Barat Tahun 2025</t>
  </si>
  <si>
    <t>Total</t>
  </si>
  <si>
    <t>Rata-rata</t>
  </si>
  <si>
    <t>Total Proporsi</t>
  </si>
  <si>
    <t>Total S^2</t>
  </si>
  <si>
    <t>S^2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</si>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</sst>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top" wrapText="1"/>
    </xf>
    <xf numFmtId="164" fontId="2" fillId="2" borderId="1" xfId="1" applyNumberFormat="1" applyFont="1" applyFill="1" applyBorder="1" applyAlignment="1">
      <alignment horizontal="center" vertical="top" wrapText="1"/>
    </xf>
    <xf numFmtId="2" fontId="2" fillId="2" borderId="1" xfId="0" applyNumberFormat="1" applyFont="1" applyFill="1" applyBorder="1" applyAlignment="1">
      <alignment horizontal="center" vertical="top" wrapText="1"/>
    </xf>
    <xf numFmtId="43" fontId="2" fillId="2" borderId="1" xfId="1" applyFont="1" applyFill="1" applyBorder="1" applyAlignment="1">
      <alignment horizontal="center" vertical="top" wrapText="1"/>
    </xf>
    <xf numFmtId="43" fontId="2" fillId="2" borderId="1" xfId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2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43" fontId="3" fillId="0" borderId="1" xfId="1" applyFont="1" applyBorder="1"/>
    <xf numFmtId="43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05C2-BCAD-4F5D-91F3-7D31B040F563}">
  <dimension ref="A1:G37"/>
  <sheetViews>
    <sheetView tabSelected="1" workbookViewId="0">
      <selection activeCell="F5" sqref="F5"/>
    </sheetView>
  </sheetViews>
  <sheetFormatPr defaultRowHeight="15.5" x14ac:dyDescent="0.35"/>
  <cols>
    <col min="1" max="1" width="13" style="4" customWidth="1"/>
    <col min="2" max="2" width="17.6328125" style="4" customWidth="1"/>
    <col min="3" max="3" width="14.1796875" style="4" customWidth="1"/>
    <col min="4" max="4" width="13.6328125" style="4" customWidth="1"/>
    <col min="5" max="5" width="10.26953125" style="4" customWidth="1"/>
    <col min="6" max="6" width="10.54296875" style="4" customWidth="1"/>
    <col min="7" max="7" width="12.6328125" style="4" customWidth="1"/>
    <col min="8" max="16384" width="8.7265625" style="4"/>
  </cols>
  <sheetData>
    <row r="1" spans="1:7" x14ac:dyDescent="0.35">
      <c r="A1" s="1" t="s">
        <v>28</v>
      </c>
      <c r="B1" s="2"/>
      <c r="C1" s="3"/>
    </row>
    <row r="2" spans="1:7" x14ac:dyDescent="0.35">
      <c r="B2" s="2"/>
      <c r="C2" s="3"/>
    </row>
    <row r="3" spans="1:7" ht="30" x14ac:dyDescent="0.35">
      <c r="A3" s="5" t="s">
        <v>0</v>
      </c>
      <c r="B3" s="6" t="s">
        <v>1</v>
      </c>
      <c r="C3" s="7" t="s">
        <v>2</v>
      </c>
      <c r="D3" s="8" t="s">
        <v>3</v>
      </c>
      <c r="E3" s="9" t="s">
        <v>4</v>
      </c>
      <c r="F3" s="10" t="s">
        <v>5</v>
      </c>
      <c r="G3" s="10" t="s">
        <v>6</v>
      </c>
    </row>
    <row r="4" spans="1:7" x14ac:dyDescent="0.35">
      <c r="A4" s="11" t="s">
        <v>7</v>
      </c>
      <c r="B4" s="11">
        <v>401.86</v>
      </c>
      <c r="C4" s="11">
        <v>6.26</v>
      </c>
      <c r="D4" s="15">
        <f>C4*B4/100</f>
        <v>25.156435999999999</v>
      </c>
      <c r="E4" s="16">
        <f>D4/B4</f>
        <v>6.2600000000000003E-2</v>
      </c>
      <c r="F4" s="16">
        <f>D4-$D$32</f>
        <v>14.410860444444451</v>
      </c>
      <c r="G4" s="15">
        <f>F4^2</f>
        <v>207.6728987492537</v>
      </c>
    </row>
    <row r="5" spans="1:7" x14ac:dyDescent="0.35">
      <c r="A5" s="11" t="s">
        <v>8</v>
      </c>
      <c r="B5" s="11">
        <v>164.63</v>
      </c>
      <c r="C5" s="11">
        <v>6.41</v>
      </c>
      <c r="D5" s="15">
        <f t="shared" ref="D5:D30" si="0">C5*B5/100</f>
        <v>10.552783</v>
      </c>
      <c r="E5" s="16">
        <f t="shared" ref="E5:E30" si="1">D5/B5</f>
        <v>6.4100000000000004E-2</v>
      </c>
      <c r="F5" s="16">
        <f t="shared" ref="F5:F30" si="2">D5-$D$32</f>
        <v>-0.19279255555554897</v>
      </c>
      <c r="G5" s="15">
        <f t="shared" ref="G5:G30" si="3">F5^2</f>
        <v>3.7168969477639438E-2</v>
      </c>
    </row>
    <row r="6" spans="1:7" x14ac:dyDescent="0.35">
      <c r="A6" s="11" t="s">
        <v>9</v>
      </c>
      <c r="B6" s="11">
        <v>232.61</v>
      </c>
      <c r="C6" s="11">
        <v>9.82</v>
      </c>
      <c r="D6" s="15">
        <f t="shared" si="0"/>
        <v>22.842302000000004</v>
      </c>
      <c r="E6" s="16">
        <f t="shared" si="1"/>
        <v>9.820000000000001E-2</v>
      </c>
      <c r="F6" s="16">
        <f t="shared" si="2"/>
        <v>12.096726444444455</v>
      </c>
      <c r="G6" s="15">
        <f t="shared" si="3"/>
        <v>146.33079067172179</v>
      </c>
    </row>
    <row r="7" spans="1:7" x14ac:dyDescent="0.35">
      <c r="A7" s="11" t="s">
        <v>10</v>
      </c>
      <c r="B7" s="11">
        <v>236.06</v>
      </c>
      <c r="C7" s="11">
        <v>6.04</v>
      </c>
      <c r="D7" s="15">
        <f t="shared" si="0"/>
        <v>14.258024000000001</v>
      </c>
      <c r="E7" s="16">
        <f t="shared" si="1"/>
        <v>6.0400000000000002E-2</v>
      </c>
      <c r="F7" s="16">
        <f t="shared" si="2"/>
        <v>3.5124484444444519</v>
      </c>
      <c r="G7" s="15">
        <f t="shared" si="3"/>
        <v>12.33729407488025</v>
      </c>
    </row>
    <row r="8" spans="1:7" x14ac:dyDescent="0.35">
      <c r="A8" s="11" t="s">
        <v>11</v>
      </c>
      <c r="B8" s="11">
        <v>252.56</v>
      </c>
      <c r="C8" s="11">
        <v>9.39</v>
      </c>
      <c r="D8" s="15">
        <f t="shared" si="0"/>
        <v>23.715384000000004</v>
      </c>
      <c r="E8" s="16">
        <f t="shared" si="1"/>
        <v>9.3900000000000011E-2</v>
      </c>
      <c r="F8" s="16">
        <f t="shared" si="2"/>
        <v>12.969808444444455</v>
      </c>
      <c r="G8" s="15">
        <f t="shared" si="3"/>
        <v>168.2159310855827</v>
      </c>
    </row>
    <row r="9" spans="1:7" x14ac:dyDescent="0.35">
      <c r="A9" s="11" t="s">
        <v>12</v>
      </c>
      <c r="B9" s="11">
        <v>185.99</v>
      </c>
      <c r="C9" s="11">
        <v>10.15</v>
      </c>
      <c r="D9" s="15">
        <f t="shared" si="0"/>
        <v>18.877985000000002</v>
      </c>
      <c r="E9" s="16">
        <f t="shared" si="1"/>
        <v>0.10150000000000001</v>
      </c>
      <c r="F9" s="16">
        <f t="shared" si="2"/>
        <v>8.1324094444444537</v>
      </c>
      <c r="G9" s="15">
        <f t="shared" si="3"/>
        <v>66.136083372089345</v>
      </c>
    </row>
    <row r="10" spans="1:7" x14ac:dyDescent="0.35">
      <c r="A10" s="11" t="s">
        <v>13</v>
      </c>
      <c r="B10" s="11">
        <v>88.72</v>
      </c>
      <c r="C10" s="11">
        <v>7.19</v>
      </c>
      <c r="D10" s="15">
        <f t="shared" si="0"/>
        <v>6.3789679999999995</v>
      </c>
      <c r="E10" s="16">
        <f t="shared" si="1"/>
        <v>7.1899999999999992E-2</v>
      </c>
      <c r="F10" s="16">
        <f t="shared" si="2"/>
        <v>-4.3666075555555492</v>
      </c>
      <c r="G10" s="15">
        <f t="shared" si="3"/>
        <v>19.06726154423481</v>
      </c>
    </row>
    <row r="11" spans="1:7" x14ac:dyDescent="0.35">
      <c r="A11" s="11" t="s">
        <v>14</v>
      </c>
      <c r="B11" s="11">
        <v>119.67</v>
      </c>
      <c r="C11" s="11">
        <v>10.74</v>
      </c>
      <c r="D11" s="15">
        <f t="shared" si="0"/>
        <v>12.852558000000002</v>
      </c>
      <c r="E11" s="16">
        <f t="shared" si="1"/>
        <v>0.10740000000000001</v>
      </c>
      <c r="F11" s="16">
        <f t="shared" si="2"/>
        <v>2.1069824444444532</v>
      </c>
      <c r="G11" s="15">
        <f t="shared" si="3"/>
        <v>4.4393750211971232</v>
      </c>
    </row>
    <row r="12" spans="1:7" x14ac:dyDescent="0.35">
      <c r="A12" s="11" t="s">
        <v>15</v>
      </c>
      <c r="B12" s="11">
        <v>229.64</v>
      </c>
      <c r="C12" s="11">
        <v>10.23</v>
      </c>
      <c r="D12" s="15">
        <f t="shared" si="0"/>
        <v>23.492172</v>
      </c>
      <c r="E12" s="16">
        <f t="shared" si="1"/>
        <v>0.1023</v>
      </c>
      <c r="F12" s="16">
        <f t="shared" si="2"/>
        <v>12.746596444444451</v>
      </c>
      <c r="G12" s="15">
        <f t="shared" si="3"/>
        <v>162.47572091752392</v>
      </c>
    </row>
    <row r="13" spans="1:7" x14ac:dyDescent="0.35">
      <c r="A13" s="11" t="s">
        <v>16</v>
      </c>
      <c r="B13" s="11">
        <v>128.66999999999999</v>
      </c>
      <c r="C13" s="11">
        <v>10.31</v>
      </c>
      <c r="D13" s="15">
        <f t="shared" si="0"/>
        <v>13.265877</v>
      </c>
      <c r="E13" s="16">
        <f t="shared" si="1"/>
        <v>0.10310000000000001</v>
      </c>
      <c r="F13" s="16">
        <f t="shared" si="2"/>
        <v>2.5203014444444509</v>
      </c>
      <c r="G13" s="15">
        <f t="shared" si="3"/>
        <v>6.351919370868786</v>
      </c>
    </row>
    <row r="14" spans="1:7" x14ac:dyDescent="0.35">
      <c r="A14" s="11" t="s">
        <v>17</v>
      </c>
      <c r="B14" s="11">
        <v>105.82</v>
      </c>
      <c r="C14" s="11">
        <v>8.81</v>
      </c>
      <c r="D14" s="15">
        <f t="shared" si="0"/>
        <v>9.3227419999999999</v>
      </c>
      <c r="E14" s="16">
        <f t="shared" si="1"/>
        <v>8.8099999999999998E-2</v>
      </c>
      <c r="F14" s="16">
        <f t="shared" si="2"/>
        <v>-1.4228335555555489</v>
      </c>
      <c r="G14" s="15">
        <f t="shared" si="3"/>
        <v>2.0244553268148451</v>
      </c>
    </row>
    <row r="15" spans="1:7" x14ac:dyDescent="0.35">
      <c r="A15" s="11" t="s">
        <v>18</v>
      </c>
      <c r="B15" s="11">
        <v>196.78</v>
      </c>
      <c r="C15" s="11">
        <v>11.02</v>
      </c>
      <c r="D15" s="15">
        <f t="shared" si="0"/>
        <v>21.685155999999996</v>
      </c>
      <c r="E15" s="16">
        <f t="shared" si="1"/>
        <v>0.11019999999999998</v>
      </c>
      <c r="F15" s="16">
        <f t="shared" si="2"/>
        <v>10.939580444444447</v>
      </c>
      <c r="G15" s="15">
        <f t="shared" si="3"/>
        <v>119.67442030047137</v>
      </c>
    </row>
    <row r="16" spans="1:7" x14ac:dyDescent="0.35">
      <c r="A16" s="11" t="s">
        <v>19</v>
      </c>
      <c r="B16" s="11">
        <v>148.99</v>
      </c>
      <c r="C16" s="11">
        <v>9.23</v>
      </c>
      <c r="D16" s="15">
        <f t="shared" si="0"/>
        <v>13.751777000000002</v>
      </c>
      <c r="E16" s="16">
        <f t="shared" si="1"/>
        <v>9.2300000000000007E-2</v>
      </c>
      <c r="F16" s="16">
        <f t="shared" si="2"/>
        <v>3.0062014444444536</v>
      </c>
      <c r="G16" s="15">
        <f t="shared" si="3"/>
        <v>9.0372471245799186</v>
      </c>
    </row>
    <row r="17" spans="1:7" x14ac:dyDescent="0.35">
      <c r="A17" s="11" t="s">
        <v>20</v>
      </c>
      <c r="B17" s="11">
        <v>76.510000000000005</v>
      </c>
      <c r="C17" s="11">
        <v>7.87</v>
      </c>
      <c r="D17" s="15">
        <f t="shared" si="0"/>
        <v>6.0213370000000008</v>
      </c>
      <c r="E17" s="16">
        <f t="shared" si="1"/>
        <v>7.8700000000000006E-2</v>
      </c>
      <c r="F17" s="16">
        <f t="shared" si="2"/>
        <v>-4.7242385555555479</v>
      </c>
      <c r="G17" s="15">
        <f t="shared" si="3"/>
        <v>22.318429929797571</v>
      </c>
    </row>
    <row r="18" spans="1:7" x14ac:dyDescent="0.35">
      <c r="A18" s="11" t="s">
        <v>21</v>
      </c>
      <c r="B18" s="11">
        <v>169.8</v>
      </c>
      <c r="C18" s="11">
        <v>7.08</v>
      </c>
      <c r="D18" s="15">
        <f t="shared" si="0"/>
        <v>12.021840000000003</v>
      </c>
      <c r="E18" s="16">
        <f t="shared" si="1"/>
        <v>7.0800000000000016E-2</v>
      </c>
      <c r="F18" s="16">
        <f t="shared" si="2"/>
        <v>1.276264444444454</v>
      </c>
      <c r="G18" s="15">
        <f t="shared" si="3"/>
        <v>1.6288509321531108</v>
      </c>
    </row>
    <row r="19" spans="1:7" x14ac:dyDescent="0.35">
      <c r="A19" s="11" t="s">
        <v>22</v>
      </c>
      <c r="B19" s="11">
        <v>191</v>
      </c>
      <c r="C19" s="11">
        <v>4.3600000000000003</v>
      </c>
      <c r="D19" s="15">
        <f t="shared" si="0"/>
        <v>8.3276000000000003</v>
      </c>
      <c r="E19" s="16">
        <f t="shared" si="1"/>
        <v>4.36E-2</v>
      </c>
      <c r="F19" s="16">
        <f t="shared" si="2"/>
        <v>-2.4179755555555484</v>
      </c>
      <c r="G19" s="15">
        <f t="shared" si="3"/>
        <v>5.8466057872641635</v>
      </c>
    </row>
    <row r="20" spans="1:7" x14ac:dyDescent="0.35">
      <c r="A20" s="11" t="s">
        <v>23</v>
      </c>
      <c r="B20" s="11">
        <v>169.66</v>
      </c>
      <c r="C20" s="11">
        <v>9.8699999999999992</v>
      </c>
      <c r="D20" s="15">
        <f t="shared" si="0"/>
        <v>16.745441999999997</v>
      </c>
      <c r="E20" s="16">
        <f t="shared" si="1"/>
        <v>9.8699999999999982E-2</v>
      </c>
      <c r="F20" s="16">
        <f t="shared" si="2"/>
        <v>5.9998664444444483</v>
      </c>
      <c r="G20" s="15">
        <f t="shared" si="3"/>
        <v>35.998397351170468</v>
      </c>
    </row>
    <row r="21" spans="1:7" x14ac:dyDescent="0.35">
      <c r="A21" s="11" t="s">
        <v>24</v>
      </c>
      <c r="B21" s="11">
        <v>33.090000000000003</v>
      </c>
      <c r="C21" s="11">
        <v>8.0299999999999994</v>
      </c>
      <c r="D21" s="15">
        <f t="shared" si="0"/>
        <v>2.657127</v>
      </c>
      <c r="E21" s="16">
        <f t="shared" si="1"/>
        <v>8.0299999999999996E-2</v>
      </c>
      <c r="F21" s="16">
        <f t="shared" si="2"/>
        <v>-8.0884485555555479</v>
      </c>
      <c r="G21" s="15">
        <f t="shared" si="3"/>
        <v>65.423000035868625</v>
      </c>
    </row>
    <row r="22" spans="1:7" x14ac:dyDescent="0.35">
      <c r="A22" s="11" t="s">
        <v>7</v>
      </c>
      <c r="B22" s="11">
        <v>67.16</v>
      </c>
      <c r="C22" s="11">
        <v>5.89</v>
      </c>
      <c r="D22" s="15">
        <f t="shared" si="0"/>
        <v>3.9557239999999996</v>
      </c>
      <c r="E22" s="16">
        <f t="shared" si="1"/>
        <v>5.8899999999999994E-2</v>
      </c>
      <c r="F22" s="16">
        <f t="shared" si="2"/>
        <v>-6.7898515555555488</v>
      </c>
      <c r="G22" s="15">
        <f t="shared" si="3"/>
        <v>46.102084146480102</v>
      </c>
    </row>
    <row r="23" spans="1:7" x14ac:dyDescent="0.35">
      <c r="A23" s="11" t="s">
        <v>8</v>
      </c>
      <c r="B23" s="11">
        <v>23.17</v>
      </c>
      <c r="C23" s="11">
        <v>6.9</v>
      </c>
      <c r="D23" s="15">
        <f t="shared" si="0"/>
        <v>1.5987300000000002</v>
      </c>
      <c r="E23" s="16">
        <f t="shared" si="1"/>
        <v>6.9000000000000006E-2</v>
      </c>
      <c r="F23" s="16">
        <f t="shared" si="2"/>
        <v>-9.146845555555549</v>
      </c>
      <c r="G23" s="15">
        <f t="shared" si="3"/>
        <v>83.664783617186302</v>
      </c>
    </row>
    <row r="24" spans="1:7" x14ac:dyDescent="0.35">
      <c r="A24" s="11" t="s">
        <v>10</v>
      </c>
      <c r="B24" s="11">
        <v>99.12</v>
      </c>
      <c r="C24" s="11">
        <v>3.78</v>
      </c>
      <c r="D24" s="15">
        <f t="shared" si="0"/>
        <v>3.7467360000000003</v>
      </c>
      <c r="E24" s="16">
        <f t="shared" si="1"/>
        <v>3.78E-2</v>
      </c>
      <c r="F24" s="16">
        <f t="shared" si="2"/>
        <v>-6.9988395555555485</v>
      </c>
      <c r="G24" s="15">
        <f t="shared" si="3"/>
        <v>48.983755124408987</v>
      </c>
    </row>
    <row r="25" spans="1:7" x14ac:dyDescent="0.35">
      <c r="A25" s="11" t="s">
        <v>15</v>
      </c>
      <c r="B25" s="11">
        <v>28.12</v>
      </c>
      <c r="C25" s="11">
        <v>8.66</v>
      </c>
      <c r="D25" s="15">
        <f t="shared" si="0"/>
        <v>2.4351920000000002</v>
      </c>
      <c r="E25" s="16">
        <f t="shared" si="1"/>
        <v>8.660000000000001E-2</v>
      </c>
      <c r="F25" s="16">
        <f t="shared" si="2"/>
        <v>-8.3103835555555481</v>
      </c>
      <c r="G25" s="15">
        <f t="shared" si="3"/>
        <v>69.062474840448075</v>
      </c>
    </row>
    <row r="26" spans="1:7" x14ac:dyDescent="0.35">
      <c r="A26" s="11" t="s">
        <v>22</v>
      </c>
      <c r="B26" s="11">
        <v>129.54</v>
      </c>
      <c r="C26" s="11">
        <v>3.96</v>
      </c>
      <c r="D26" s="15">
        <f t="shared" si="0"/>
        <v>5.1297839999999999</v>
      </c>
      <c r="E26" s="16">
        <f t="shared" si="1"/>
        <v>3.9600000000000003E-2</v>
      </c>
      <c r="F26" s="16">
        <f t="shared" si="2"/>
        <v>-5.6157915555555489</v>
      </c>
      <c r="G26" s="15">
        <f t="shared" si="3"/>
        <v>31.537114795449011</v>
      </c>
    </row>
    <row r="27" spans="1:7" x14ac:dyDescent="0.35">
      <c r="A27" s="11" t="s">
        <v>25</v>
      </c>
      <c r="B27" s="11">
        <v>63.45</v>
      </c>
      <c r="C27" s="11">
        <v>2.31</v>
      </c>
      <c r="D27" s="15">
        <f t="shared" si="0"/>
        <v>1.465695</v>
      </c>
      <c r="E27" s="16">
        <f t="shared" si="1"/>
        <v>2.3099999999999999E-2</v>
      </c>
      <c r="F27" s="16">
        <f t="shared" si="2"/>
        <v>-9.2798805555555486</v>
      </c>
      <c r="G27" s="15">
        <f t="shared" si="3"/>
        <v>86.116183125377958</v>
      </c>
    </row>
    <row r="28" spans="1:7" x14ac:dyDescent="0.35">
      <c r="A28" s="11" t="s">
        <v>26</v>
      </c>
      <c r="B28" s="11">
        <v>25.97</v>
      </c>
      <c r="C28" s="11">
        <v>4.2</v>
      </c>
      <c r="D28" s="15">
        <f t="shared" si="0"/>
        <v>1.09074</v>
      </c>
      <c r="E28" s="16">
        <f t="shared" si="1"/>
        <v>4.2000000000000003E-2</v>
      </c>
      <c r="F28" s="16">
        <f t="shared" si="2"/>
        <v>-9.6548355555555485</v>
      </c>
      <c r="G28" s="15">
        <f t="shared" si="3"/>
        <v>93.215849604819624</v>
      </c>
    </row>
    <row r="29" spans="1:7" x14ac:dyDescent="0.35">
      <c r="A29" s="11" t="s">
        <v>12</v>
      </c>
      <c r="B29" s="11">
        <v>75.22</v>
      </c>
      <c r="C29" s="11">
        <v>10.84</v>
      </c>
      <c r="D29" s="15">
        <f t="shared" si="0"/>
        <v>8.153848</v>
      </c>
      <c r="E29" s="16">
        <f t="shared" si="1"/>
        <v>0.1084</v>
      </c>
      <c r="F29" s="16">
        <f t="shared" si="2"/>
        <v>-2.5917275555555488</v>
      </c>
      <c r="G29" s="15">
        <f t="shared" si="3"/>
        <v>6.71705172222594</v>
      </c>
    </row>
    <row r="30" spans="1:7" x14ac:dyDescent="0.35">
      <c r="A30" s="11" t="s">
        <v>27</v>
      </c>
      <c r="B30" s="11">
        <v>10.97</v>
      </c>
      <c r="C30" s="11">
        <v>5.73</v>
      </c>
      <c r="D30" s="15">
        <f t="shared" si="0"/>
        <v>0.62858100000000006</v>
      </c>
      <c r="E30" s="16">
        <f t="shared" si="1"/>
        <v>5.7300000000000004E-2</v>
      </c>
      <c r="F30" s="16">
        <f t="shared" si="2"/>
        <v>-10.116994555555548</v>
      </c>
      <c r="G30" s="15">
        <f t="shared" si="3"/>
        <v>102.3535788371406</v>
      </c>
    </row>
    <row r="31" spans="1:7" x14ac:dyDescent="0.35">
      <c r="C31" s="12" t="s">
        <v>29</v>
      </c>
      <c r="D31" s="13">
        <f>SUM(D4:D30)</f>
        <v>290.13053999999983</v>
      </c>
    </row>
    <row r="32" spans="1:7" x14ac:dyDescent="0.35">
      <c r="C32" s="12" t="s">
        <v>30</v>
      </c>
      <c r="D32" s="14">
        <f>AVERAGE(D4:D30)</f>
        <v>10.745575555555549</v>
      </c>
    </row>
    <row r="33" spans="3:4" x14ac:dyDescent="0.35">
      <c r="C33" s="12" t="s">
        <v>31</v>
      </c>
      <c r="D33" s="14">
        <f>SUM(E4:E30)</f>
        <v>2.0508000000000002</v>
      </c>
    </row>
    <row r="34" spans="3:4" x14ac:dyDescent="0.35">
      <c r="C34" s="12" t="s">
        <v>4</v>
      </c>
      <c r="D34" s="14">
        <f>D33/27</f>
        <v>7.5955555555555568E-2</v>
      </c>
    </row>
    <row r="35" spans="3:4" x14ac:dyDescent="0.35">
      <c r="C35" s="12" t="s">
        <v>32</v>
      </c>
      <c r="D35" s="13">
        <f>SUM(G4:G30)</f>
        <v>1622.7687263784869</v>
      </c>
    </row>
    <row r="36" spans="3:4" x14ac:dyDescent="0.35">
      <c r="C36" s="12" t="s">
        <v>33</v>
      </c>
      <c r="D36" s="14">
        <f>D35/26</f>
        <v>62.41418178378796</v>
      </c>
    </row>
    <row r="37" spans="3:4" x14ac:dyDescent="0.35">
      <c r="C37" s="12" t="s">
        <v>34</v>
      </c>
      <c r="D37" s="14">
        <f>1-D34</f>
        <v>0.92404444444444445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2026-05-27T05:49:58Z</dcterms:created>
  <dcterms:modified xsi:type="dcterms:W3CDTF">2026-05-31T17:44:16Z</dcterms:modified>
</cp:coreProperties>
</file>